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drawings/GemDrawing8198.xml" ContentType="application/vnd.openxmlformats-officedocument.drawing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theme/theme1.xml" ContentType="application/vnd.openxmlformats-officedocument.theme+xml"/>
  <Override PartName="/xl/ctrlProps/ctrlProp1.xml" ContentType="application/vnd.ms-excel.control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320AAD7A-AEEB-3B57-35EE-6C7AAB037B02}"/>
  <workbookPr codeName="ThisWorkbook" defaultThemeVersion="124226"/>
  <xr:revisionPtr revIDLastSave="0" documentId="13_ncr:1_{4BB0647C-0FCA-421A-B04F-C4E35C42C943}" xr6:coauthVersionLast="47" xr6:coauthVersionMax="47" xr10:uidLastSave="{00000000-0000-0000-0000-000000000000}"/>
  <workbookProtection workbookAlgorithmName="SHA-512" workbookHashValue="jcuAhGKHupjtNF6jpNwKW/Jg03Eq/l8y5vSUWeeQRqcJv/0yFwvrJm0cnIKlUbJb/5uoVTxa2hMoTsEQB1qhig==" workbookSaltValue="oYqIQnZ2EFcJsODTuMS+tQ==" workbookSpinCount="100000" lockStructure="1"/>
  <bookViews>
    <workbookView activeTab="0"/>
  </bookViews>
  <sheets>
    <sheet name="SUMMARY" sheetId="1" r:id="GemRid819824"/>
    <sheet name="QUOTE" sheetId="2" r:id="GemRid243816"/>
  </sheets>
  <definedNames>
    <definedName name="_xlnm.Print_Area" localSheetId="0">'SUMMARY'!$A$1:$N$23</definedName>
  </definedNames>
  <calcPr fullCalcOnLoad="1"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0" uniqueCount="0"/>
</file>

<file path=xl/styles.xml><?xml version="1.0" encoding="utf-8"?>
<styleSheet xmlns="http://schemas.openxmlformats.org/spreadsheetml/2006/main">
  <numFmts count="1">
    <numFmt numFmtId="164" formatCode="_-* #,##0.00_-;\-* #,##0.00_-;_-* &quot;-&quot;??_-;_-@_-"/>
  </numFmts>
  <fonts count="25">
    <font>
      <sz val="10"/>
      <name val="Arial"/>
    </font>
    <font>
      <sz val="10"/>
      <name val="Arial"/>
    </font>
    <font>
      <b/>
      <sz val="10"/>
      <name val="Arial"/>
    </font>
    <font>
      <b/>
      <color rgb="FF002060"/>
      <sz val="10"/>
      <name val="Arial"/>
    </font>
    <font>
      <color rgb="FFC00000"/>
      <sz val="10"/>
      <name val="Arial"/>
    </font>
    <font>
      <b/>
      <sz val="10"/>
      <name val="Arial"/>
    </font>
    <font>
      <b/>
      <u/>
      <sz val="10"/>
      <name val="Arial"/>
    </font>
    <font>
      <sz val="10"/>
      <name val="Arial"/>
    </font>
    <font>
      <b/>
      <sz val="10"/>
      <name val="Arial"/>
    </font>
    <font>
      <b/>
      <sz val="10"/>
      <name val="Arial"/>
    </font>
    <font>
      <b/>
      <sz val="10"/>
      <name val="Arial"/>
    </font>
    <font>
      <color rgb="FFFFFFFF"/>
      <sz val="10"/>
      <name val="Arial"/>
    </font>
    <font>
      <color rgb="FFFF0000"/>
      <sz val="10"/>
      <name val="Arial"/>
    </font>
    <font>
      <sz val="10"/>
      <name val="Arial"/>
    </font>
    <font>
      <b/>
      <color rgb="FFC00000"/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</font>
    <font>
      <b/>
      <sz val="10"/>
      <name val="Arial"/>
    </font>
    <font>
      <b/>
      <sz val="10"/>
      <name val="Arial"/>
    </font>
    <font>
      <b/>
      <sz val="10"/>
      <name val="Arial"/>
    </font>
    <font>
      <sz val="10"/>
      <name val="Arial"/>
    </font>
    <font>
      <color rgb="FFFFFFFF"/>
      <sz val="10"/>
      <name val="Arial"/>
    </font>
    <font>
      <color rgb="FFFF0000"/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rgb="FFA5B6CA"/>
      </patternFill>
    </fill>
    <fill>
      <patternFill patternType="solid">
        <fgColor rgb="FFFFFFFF"/>
      </patternFill>
    </fill>
  </fills>
  <borders count="20">
    <border/>
    <border>
      <top style="thin"/>
    </border>
    <border>
      <left style="thin"/>
      <top style="thin"/>
    </border>
    <border>
      <right style="thin"/>
      <top style="thin"/>
    </border>
    <border>
      <left style="thin"/>
    </border>
    <border>
      <right style="thin"/>
    </border>
    <border>
      <left style="thin"/>
      <right style="none">
        <color rgb="00000000"/>
      </right>
    </border>
    <border>
      <left style="none">
        <color rgb="00000000"/>
      </left>
      <right style="thin"/>
    </border>
    <border>
      <left style="thin"/>
      <right style="none">
        <color rgb="00000000"/>
      </right>
    </border>
    <border>
      <bottom style="thin"/>
    </border>
    <border>
      <right style="thin"/>
    </border>
    <border>
      <top style="medium"/>
    </border>
    <border>
      <bottom style="none">
        <color rgb="00000000"/>
      </bottom>
    </border>
    <border>
      <bottom style="thin"/>
    </border>
    <border>
      <left style="thin"/>
      <right style="none">
        <color rgb="00000000"/>
      </right>
      <top style="thin"/>
      <bottom style="thin"/>
    </border>
    <border>
      <left style="none">
        <color rgb="00000000"/>
      </left>
      <right style="none">
        <color rgb="00000000"/>
      </right>
      <top style="thin"/>
      <bottom style="thin"/>
    </border>
    <border>
      <left style="none">
        <color rgb="00000000"/>
      </left>
      <right style="thin"/>
      <top style="thin"/>
      <bottom style="thin"/>
    </border>
    <border>
      <left style="thin"/>
      <right style="thin"/>
      <top style="thin"/>
      <bottom style="thin"/>
    </border>
    <border>
      <top style="thin"/>
      <bottom style="thin"/>
    </border>
    <border>
      <right style="thin"/>
      <top style="thin"/>
      <bottom style="thin"/>
    </border>
  </borders>
  <cellStyleXfs count="1">
    <xf numFmtId="0" fontId="0" fillId="0" borderId="0"/>
  </cellStyleXfs>
  <cellXfs count="96">
    <xf numFmtId="0" fontId="0" fillId="0" borderId="0" applyProtection="1">
      <protection/>
    </xf>
    <xf numFmtId="0" fontId="1" fillId="0" borderId="0" applyFont="1" applyProtection="1">
      <protection/>
    </xf>
    <xf numFmtId="0" fontId="1" fillId="0" borderId="1" applyFont="1" applyBorder="1" applyProtection="1">
      <protection/>
    </xf>
    <xf numFmtId="0" fontId="1" fillId="0" borderId="2" applyFont="1" applyBorder="1" applyProtection="1">
      <protection/>
    </xf>
    <xf numFmtId="0" fontId="1" fillId="0" borderId="3" applyFont="1" applyBorder="1" applyProtection="1">
      <protection/>
    </xf>
    <xf numFmtId="0" fontId="2" fillId="0" borderId="1" applyFont="1" applyBorder="1" applyProtection="1" applyAlignment="1">
      <alignment horizontal="center" wrapText="1"/>
      <protection hidden="1"/>
    </xf>
    <xf numFmtId="0" fontId="3" fillId="0" borderId="0" applyFont="1" applyProtection="1">
      <protection hidden="1"/>
    </xf>
    <xf numFmtId="0" fontId="1" fillId="0" borderId="4" applyFont="1" applyBorder="1" applyProtection="1">
      <protection/>
    </xf>
    <xf numFmtId="0" fontId="1" fillId="0" borderId="5" applyFont="1" applyBorder="1" applyProtection="1">
      <protection/>
    </xf>
    <xf numFmtId="0" fontId="4" fillId="0" borderId="0" applyFont="1" applyProtection="1">
      <protection hidden="1"/>
    </xf>
    <xf numFmtId="0" fontId="1" fillId="0" borderId="0" applyFont="1" applyProtection="1">
      <protection hidden="1"/>
    </xf>
    <xf numFmtId="0" fontId="5" fillId="0" borderId="0" applyFont="1" applyProtection="1" applyAlignment="1">
      <alignment horizontal="center"/>
      <protection hidden="1"/>
    </xf>
    <xf numFmtId="0" fontId="5" fillId="0" borderId="0" applyFont="1" applyProtection="1" applyAlignment="1">
      <alignment wrapText="1"/>
      <protection/>
    </xf>
    <xf numFmtId="0" fontId="6" fillId="0" borderId="6" applyFont="1" applyBorder="1" applyProtection="1" applyAlignment="1">
      <alignment horizontal="left" indent="1" wrapText="1"/>
      <protection hidden="1"/>
    </xf>
    <xf numFmtId="0" fontId="6" fillId="0" borderId="7" applyFont="1" applyBorder="1" applyProtection="1" applyAlignment="1">
      <alignment horizontal="left" indent="1" wrapText="1"/>
      <protection hidden="1"/>
    </xf>
    <xf numFmtId="0" fontId="5" fillId="2" borderId="8" applyFont="1" applyFill="1" applyBorder="1" applyProtection="1" applyAlignment="1">
      <alignment horizontal="left" vertical="top" indent="1" wrapText="1"/>
      <protection locked="0" hidden="1"/>
    </xf>
    <xf numFmtId="0" fontId="5" fillId="2" borderId="7" applyFont="1" applyFill="1" applyBorder="1" applyProtection="1" applyAlignment="1">
      <alignment horizontal="left" vertical="top" indent="1" wrapText="1"/>
      <protection locked="0" hidden="1"/>
    </xf>
    <xf numFmtId="0" fontId="5" fillId="0" borderId="9" applyFont="1" applyBorder="1" applyProtection="1" applyAlignment="1">
      <alignment horizontal="center"/>
      <protection hidden="1"/>
    </xf>
    <xf numFmtId="0" fontId="5" fillId="0" borderId="9" applyFont="1" applyBorder="1" applyProtection="1" applyAlignment="1">
      <alignment horizontal="center" wrapText="1"/>
      <protection hidden="1"/>
    </xf>
    <xf numFmtId="164" fontId="5" fillId="0" borderId="9" applyNumberFormat="1" applyFont="1" applyBorder="1" applyProtection="1" applyAlignment="1">
      <alignment horizontal="right"/>
      <protection hidden="1"/>
    </xf>
    <xf numFmtId="164" fontId="1" fillId="0" borderId="0" applyNumberFormat="1" applyFont="1" applyProtection="1" applyAlignment="1">
      <alignment vertical="center"/>
      <protection hidden="1"/>
    </xf>
    <xf numFmtId="0" fontId="1" fillId="0" borderId="0" applyFont="1" applyProtection="1" applyAlignment="1">
      <alignment wrapText="1"/>
      <protection/>
    </xf>
    <xf numFmtId="0" fontId="1" fillId="0" borderId="10" applyFont="1" applyBorder="1" applyProtection="1" applyAlignment="1">
      <alignment wrapText="1"/>
      <protection/>
    </xf>
    <xf numFmtId="0" fontId="1" fillId="0" borderId="11" applyFont="1" applyBorder="1" applyProtection="1">
      <protection hidden="1"/>
    </xf>
    <xf numFmtId="0" fontId="1" fillId="0" borderId="11" applyFont="1" applyBorder="1" applyProtection="1" applyAlignment="1">
      <alignment horizontal="right" wrapText="1"/>
      <protection hidden="1"/>
    </xf>
    <xf numFmtId="0" fontId="5" fillId="0" borderId="11" applyFont="1" applyBorder="1" applyProtection="1" applyAlignment="1">
      <alignment horizontal="center" wrapText="1"/>
      <protection hidden="1"/>
    </xf>
    <xf numFmtId="164" fontId="1" fillId="0" borderId="11" applyNumberFormat="1" applyFont="1" applyBorder="1" applyProtection="1">
      <protection hidden="1"/>
    </xf>
    <xf numFmtId="0" fontId="1" fillId="0" borderId="0" applyFont="1" applyProtection="1" applyAlignment="1">
      <alignment horizontal="right" wrapText="1"/>
      <protection hidden="1"/>
    </xf>
    <xf numFmtId="0" fontId="1" fillId="0" borderId="0" applyFont="1" applyProtection="1" applyAlignment="1">
      <alignment horizontal="center" wrapText="1"/>
      <protection hidden="1"/>
    </xf>
    <xf numFmtId="164" fontId="1" fillId="0" borderId="0" applyNumberFormat="1" applyFont="1" applyProtection="1">
      <protection hidden="1"/>
    </xf>
    <xf numFmtId="0" fontId="1" fillId="0" borderId="0" applyFont="1" applyProtection="1" applyAlignment="1">
      <alignment horizontal="right"/>
      <protection/>
    </xf>
    <xf numFmtId="0" fontId="1" fillId="0" borderId="0" applyFont="1" applyProtection="1" applyAlignment="1">
      <alignment horizontal="center"/>
      <protection/>
    </xf>
    <xf numFmtId="10" fontId="1" fillId="3" borderId="0" applyNumberFormat="1" applyFont="1" applyFill="1" applyProtection="1" applyAlignment="1">
      <alignment horizontal="center" wrapText="1"/>
      <protection hidden="1"/>
    </xf>
    <xf numFmtId="9" fontId="1" fillId="0" borderId="0" applyNumberFormat="1" applyFont="1" applyProtection="1" applyAlignment="1">
      <alignment horizontal="center" wrapText="1"/>
      <protection hidden="1"/>
    </xf>
    <xf numFmtId="0" fontId="5" fillId="0" borderId="1" applyFont="1" applyBorder="1" applyProtection="1" applyAlignment="1">
      <alignment horizontal="center" wrapText="1"/>
      <protection hidden="1"/>
    </xf>
    <xf numFmtId="164" fontId="1" fillId="0" borderId="1" applyNumberFormat="1" applyFont="1" applyBorder="1" applyProtection="1">
      <protection hidden="1"/>
    </xf>
    <xf numFmtId="164" fontId="7" fillId="0" borderId="0" applyNumberFormat="1" applyFont="1" applyProtection="1">
      <protection/>
    </xf>
    <xf numFmtId="10" fontId="7" fillId="0" borderId="0" applyNumberFormat="1" applyFont="1" applyProtection="1">
      <protection/>
    </xf>
    <xf numFmtId="0" fontId="8" fillId="0" borderId="0" applyFont="1" applyProtection="1" applyAlignment="1">
      <alignment horizontal="left" vertical="center"/>
      <protection/>
    </xf>
    <xf numFmtId="0" fontId="9" fillId="0" borderId="0" applyFont="1" applyProtection="1" applyAlignment="1">
      <alignment horizontal="left" vertical="center" wrapText="1"/>
      <protection/>
    </xf>
    <xf numFmtId="0" fontId="10" fillId="0" borderId="0" applyFont="1" applyProtection="1" applyAlignment="1">
      <alignment horizontal="right" vertical="center" wrapText="1"/>
      <protection/>
    </xf>
    <xf numFmtId="0" fontId="8" fillId="0" borderId="0" applyFont="1" applyProtection="1" applyAlignment="1">
      <alignment horizontal="center" vertical="center" wrapText="1"/>
      <protection/>
    </xf>
    <xf numFmtId="0" fontId="8" fillId="0" borderId="0" applyFont="1" applyProtection="1" applyAlignment="1">
      <alignment horizontal="center" vertical="center" wrapText="1"/>
      <protection locked="0"/>
    </xf>
    <xf numFmtId="0" fontId="2" fillId="0" borderId="0" applyFont="1" applyProtection="1" applyAlignment="1">
      <alignment horizontal="right" vertical="center" wrapText="1"/>
      <protection/>
    </xf>
    <xf numFmtId="164" fontId="2" fillId="0" borderId="12" applyNumberFormat="1" applyFont="1" applyBorder="1" applyProtection="1" applyAlignment="1">
      <alignment horizontal="left" vertical="top" wrapText="1"/>
      <protection/>
    </xf>
    <xf numFmtId="0" fontId="7" fillId="0" borderId="0" applyFont="1" applyProtection="1" applyAlignment="1">
      <alignment horizontal="left" vertical="center" wrapText="1"/>
      <protection/>
    </xf>
    <xf numFmtId="0" fontId="11" fillId="0" borderId="0" applyFont="1" applyProtection="1" applyAlignment="1">
      <alignment horizontal="center" vertical="center" wrapText="1"/>
      <protection/>
    </xf>
    <xf numFmtId="0" fontId="12" fillId="0" borderId="0" applyFont="1" applyProtection="1" applyAlignment="1">
      <alignment horizontal="left" vertical="center" wrapText="1"/>
      <protection/>
    </xf>
    <xf numFmtId="0" fontId="1" fillId="0" borderId="0" applyFont="1" applyProtection="1" applyAlignment="1">
      <alignment horizontal="left" vertical="center" wrapText="1"/>
      <protection/>
    </xf>
    <xf numFmtId="0" fontId="1" fillId="0" borderId="0" applyFont="1" applyProtection="1" applyAlignment="1">
      <alignment horizontal="left" vertical="center" wrapText="1"/>
      <protection locked="0"/>
    </xf>
    <xf numFmtId="0" fontId="5" fillId="0" borderId="0" applyFont="1" applyProtection="1" applyAlignment="1">
      <alignment horizontal="right" vertical="center" indent="1" wrapText="1"/>
      <protection locked="0"/>
    </xf>
    <xf numFmtId="0" fontId="13" fillId="0" borderId="0" applyFont="1" applyProtection="1" applyAlignment="1">
      <alignment horizontal="left" vertical="center" wrapText="1"/>
      <protection/>
    </xf>
    <xf numFmtId="164" fontId="2" fillId="0" borderId="13" applyNumberFormat="1" applyFont="1" applyBorder="1" applyProtection="1" applyAlignment="1">
      <alignment horizontal="left" vertical="top" wrapText="1"/>
      <protection/>
    </xf>
    <xf numFmtId="164" fontId="1" fillId="0" borderId="0" applyNumberFormat="1" applyFont="1" applyProtection="1" applyAlignment="1">
      <alignment horizontal="left" vertical="center" wrapText="1"/>
      <protection/>
    </xf>
    <xf numFmtId="0" fontId="8" fillId="0" borderId="14" applyFont="1" applyBorder="1" applyProtection="1" applyAlignment="1">
      <alignment horizontal="left" vertical="center" wrapText="1"/>
      <protection/>
    </xf>
    <xf numFmtId="0" fontId="8" fillId="0" borderId="15" applyFont="1" applyBorder="1" applyProtection="1" applyAlignment="1">
      <alignment horizontal="left" vertical="center" wrapText="1"/>
      <protection/>
    </xf>
    <xf numFmtId="0" fontId="8" fillId="0" borderId="16" applyFont="1" applyBorder="1" applyProtection="1" applyAlignment="1">
      <alignment horizontal="left" vertical="center" wrapText="1"/>
      <protection/>
    </xf>
    <xf numFmtId="0" fontId="14" fillId="0" borderId="17" applyFont="1" applyBorder="1" applyProtection="1" applyAlignment="1">
      <alignment vertical="center" wrapText="1"/>
      <protection/>
    </xf>
    <xf numFmtId="0" fontId="14" fillId="0" borderId="18" applyFont="1" applyBorder="1" applyProtection="1" applyAlignment="1">
      <alignment vertical="center" wrapText="1"/>
      <protection/>
    </xf>
    <xf numFmtId="0" fontId="14" fillId="0" borderId="18" applyFont="1" applyBorder="1" applyProtection="1" applyAlignment="1">
      <alignment horizontal="center" vertical="center" wrapText="1"/>
      <protection locked="0"/>
    </xf>
    <xf numFmtId="0" fontId="14" fillId="0" borderId="19" applyFont="1" applyBorder="1" applyProtection="1" applyAlignment="1">
      <alignment horizontal="center" vertical="center" wrapText="1"/>
      <protection locked="0"/>
    </xf>
    <xf numFmtId="164" fontId="15" fillId="0" borderId="17" applyNumberFormat="1" applyFont="1" applyBorder="1" applyProtection="1" applyAlignment="1">
      <alignment horizontal="right" vertical="center" wrapText="1"/>
      <protection/>
    </xf>
    <xf numFmtId="164" fontId="15" fillId="0" borderId="17" applyNumberFormat="1" applyFont="1" applyBorder="1" applyProtection="1" applyAlignment="1">
      <alignment horizontal="center" vertical="center" wrapText="1"/>
      <protection/>
    </xf>
    <xf numFmtId="164" fontId="15" fillId="0" borderId="17" applyNumberFormat="1" applyFont="1" applyBorder="1" applyProtection="1" applyAlignment="1">
      <alignment horizontal="left" vertical="center" wrapText="1"/>
      <protection/>
    </xf>
    <xf numFmtId="0" fontId="15" fillId="0" borderId="0" applyFont="1" applyProtection="1" applyAlignment="1">
      <alignment horizontal="left" vertical="center" wrapText="1"/>
      <protection/>
    </xf>
    <xf numFmtId="0" fontId="8" fillId="0" borderId="0" applyFont="1" applyProtection="1" applyAlignment="1">
      <alignment horizontal="right" vertical="center" indent="1" wrapText="1"/>
      <protection locked="0"/>
    </xf>
    <xf numFmtId="0" fontId="16" fillId="0" borderId="17" applyFont="1" applyBorder="1" applyProtection="1" applyAlignment="1">
      <alignment horizontal="right" vertical="center" wrapText="1"/>
      <protection hidden="1"/>
    </xf>
    <xf numFmtId="10" fontId="15" fillId="0" borderId="17" applyNumberFormat="1" applyFont="1" applyBorder="1" applyProtection="1" applyAlignment="1">
      <alignment horizontal="center" vertical="center" wrapText="1"/>
      <protection hidden="1"/>
    </xf>
    <xf numFmtId="164" fontId="17" fillId="0" borderId="17" applyNumberFormat="1" applyFont="1" applyBorder="1" applyProtection="1" applyAlignment="1">
      <alignment horizontal="left" vertical="center" wrapText="1"/>
      <protection hidden="1"/>
    </xf>
    <xf numFmtId="164" fontId="18" fillId="0" borderId="0" applyNumberFormat="1" applyFont="1" applyProtection="1" applyAlignment="1">
      <alignment horizontal="left" vertical="center" wrapText="1"/>
      <protection hidden="1"/>
    </xf>
    <xf numFmtId="0" fontId="19" fillId="0" borderId="17" applyFont="1" applyBorder="1" applyProtection="1" applyAlignment="1">
      <alignment horizontal="right" vertical="center" wrapText="1"/>
      <protection hidden="1"/>
    </xf>
    <xf numFmtId="10" fontId="8" fillId="0" borderId="17" applyNumberFormat="1" applyFont="1" applyBorder="1" applyProtection="1" applyAlignment="1">
      <alignment horizontal="center" vertical="center" wrapText="1"/>
      <protection hidden="1"/>
    </xf>
    <xf numFmtId="164" fontId="20" fillId="0" borderId="17" applyNumberFormat="1" applyFont="1" applyBorder="1" applyProtection="1" applyAlignment="1">
      <alignment horizontal="left" vertical="center" wrapText="1"/>
      <protection hidden="1"/>
    </xf>
    <xf numFmtId="164" fontId="21" fillId="0" borderId="0" applyNumberFormat="1" applyFont="1" applyProtection="1" applyAlignment="1">
      <alignment horizontal="left" vertical="center" wrapText="1"/>
      <protection hidden="1"/>
    </xf>
    <xf numFmtId="164" fontId="17" fillId="0" borderId="17" applyNumberFormat="1" applyFont="1" applyBorder="1" applyProtection="1" applyAlignment="1">
      <alignment horizontal="left" vertical="center" wrapText="1"/>
      <protection/>
    </xf>
    <xf numFmtId="164" fontId="18" fillId="0" borderId="0" applyNumberFormat="1" applyFont="1" applyProtection="1" applyAlignment="1">
      <alignment horizontal="left" vertical="center" wrapText="1"/>
      <protection/>
    </xf>
    <xf numFmtId="164" fontId="8" fillId="0" borderId="17" applyNumberFormat="1" applyFont="1" applyBorder="1" applyProtection="1" applyAlignment="1">
      <alignment horizontal="center" vertical="center" wrapText="1"/>
      <protection hidden="1"/>
    </xf>
    <xf numFmtId="164" fontId="8" fillId="0" borderId="17" applyNumberFormat="1" applyFont="1" applyBorder="1" applyProtection="1" applyAlignment="1">
      <alignment horizontal="left" vertical="center" wrapText="1"/>
      <protection hidden="1"/>
    </xf>
    <xf numFmtId="164" fontId="5" fillId="0" borderId="0" applyNumberFormat="1" applyFont="1" applyProtection="1" applyAlignment="1">
      <alignment horizontal="left" vertical="center" wrapText="1"/>
      <protection hidden="1"/>
    </xf>
    <xf numFmtId="0" fontId="22" fillId="0" borderId="0" applyFont="1" applyProtection="1">
      <protection/>
    </xf>
    <xf numFmtId="0" fontId="8" fillId="0" borderId="17" applyFont="1" applyBorder="1" applyProtection="1" applyAlignment="1">
      <alignment horizontal="center" vertical="center" wrapText="1"/>
      <protection/>
    </xf>
    <xf numFmtId="164" fontId="8" fillId="0" borderId="17" applyNumberFormat="1" applyFont="1" applyBorder="1" applyProtection="1" applyAlignment="1">
      <alignment horizontal="center" vertical="center" wrapText="1"/>
      <protection/>
    </xf>
    <xf numFmtId="164" fontId="8" fillId="0" borderId="0" applyNumberFormat="1" applyFont="1" applyProtection="1" applyAlignment="1">
      <alignment horizontal="center" vertical="center" wrapText="1"/>
      <protection/>
    </xf>
    <xf numFmtId="0" fontId="23" fillId="0" borderId="0" applyFont="1" applyProtection="1" applyAlignment="1">
      <alignment horizontal="center" vertical="center" wrapText="1"/>
      <protection/>
    </xf>
    <xf numFmtId="0" fontId="24" fillId="0" borderId="0" applyFont="1" applyProtection="1" applyAlignment="1">
      <alignment horizontal="left" vertical="center" wrapText="1"/>
      <protection/>
    </xf>
    <xf numFmtId="164" fontId="22" fillId="0" borderId="0" applyNumberFormat="1" applyFont="1" applyProtection="1">
      <protection/>
    </xf>
    <xf numFmtId="10" fontId="22" fillId="0" borderId="0" applyNumberFormat="1" applyFont="1" applyProtection="1">
      <protection/>
    </xf>
    <xf numFmtId="0" fontId="15" fillId="0" borderId="17" applyFont="1" applyBorder="1" applyProtection="1" applyAlignment="1">
      <alignment horizontal="left" vertical="center" indent="1"/>
      <protection/>
    </xf>
    <xf numFmtId="0" fontId="15" fillId="0" borderId="17" applyFont="1" applyBorder="1" applyProtection="1" applyAlignment="1">
      <alignment horizontal="left" vertical="center" indent="1" wrapText="1"/>
      <protection/>
    </xf>
    <xf numFmtId="0" fontId="8" fillId="2" borderId="17" applyFont="1" applyFill="1" applyBorder="1" applyProtection="1" applyAlignment="1">
      <alignment horizontal="left" vertical="center" indent="1" wrapText="1"/>
      <protection locked="0"/>
    </xf>
    <xf numFmtId="0" fontId="8" fillId="2" borderId="17" applyFont="1" applyFill="1" applyBorder="1" applyProtection="1" applyAlignment="1">
      <alignment horizontal="right" vertical="center"/>
      <protection locked="0"/>
    </xf>
    <xf numFmtId="0" fontId="16" fillId="0" borderId="17" applyFont="1" applyBorder="1" applyProtection="1" applyAlignment="1">
      <alignment horizontal="left" vertical="center" indent="1"/>
      <protection/>
    </xf>
    <xf numFmtId="164" fontId="15" fillId="0" borderId="17" applyNumberFormat="1" applyFont="1" applyBorder="1" applyProtection="1" applyAlignment="1">
      <alignment horizontal="right" vertical="center" indent="1"/>
      <protection/>
    </xf>
    <xf numFmtId="164" fontId="15" fillId="0" borderId="0" applyNumberFormat="1" applyFont="1" applyProtection="1" applyAlignment="1">
      <alignment horizontal="right" vertical="center" indent="1"/>
      <protection/>
    </xf>
    <xf numFmtId="0" fontId="15" fillId="0" borderId="0" applyFont="1" applyProtection="1" applyAlignment="1">
      <alignment horizontal="center" vertical="center"/>
      <protection/>
    </xf>
    <xf numFmtId="0" fontId="24" fillId="0" borderId="0" applyFont="1" applyProtection="1" applyAlignment="1">
      <alignment horizontal="left" vertical="center" indent="1"/>
      <protection/>
    </xf>
  </cellXfs>
  <cellStyles count="1">
    <cellStyle name="Normal" xfId="0" builtinId="0"/>
  </cellStyles>
  <dxfs xmlns="http://schemas.openxmlformats.org/spreadsheetml/2006/main" count="3">
    <dxf>
      <font>
        <color theme="0"/>
      </font>
      <fill>
        <patternFill>
          <bgColor theme="1" tint="0.24994659260841701"/>
        </patternFill>
      </fill>
    </dxf>
    <dxf>
      <border>
        <top style="thin">
          <color indexed="64"/>
        </top>
      </border>
    </dxf>
    <dxf>
      <font>
        <color theme="0"/>
      </font>
      <border>
        <left/>
        <right/>
        <top/>
        <bottom/>
      </border>
    </dxf>
  </dxfs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 /><Relationship Id="rId7" Type="http://schemas.microsoft.com/office/2006/relationships/vbaProject" Target="vbaProject.bin" /><Relationship Id="rId6" Type="http://schemas.openxmlformats.org/officeDocument/2006/relationships/calcChain" Target="calcChain.xml" /><Relationship Id="rId5" Type="http://schemas.openxmlformats.org/officeDocument/2006/relationships/sharedStrings" Target="sharedStrings.xml" /><Relationship Id="rId4" Type="http://schemas.openxmlformats.org/officeDocument/2006/relationships/styles" Target="styles.xml" /><Relationship Id="GemRid819824" Type="http://schemas.openxmlformats.org/officeDocument/2006/relationships/worksheet" Target="worksheets/sheet1.xml" /><Relationship Id="GemRid243816" Type="http://schemas.openxmlformats.org/officeDocument/2006/relationships/worksheet" Target="worksheets/sheet2.xml" /></Relationships>
</file>

<file path=xl/ctrlProps/ctrlProp1.xml><?xml version="1.0" encoding="utf-8"?>
<formControlPr xmlns="http://schemas.microsoft.com/office/spreadsheetml/2009/9/main" objectType="Button" lockText="1"/>
</file>

<file path=xl/drawings/GemDrawing819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95249</xdr:rowOff>
    </xdr:from>
    <xdr:to>
      <xdr:col>2</xdr:col>
      <xdr:colOff>956708</xdr:colOff>
      <xdr:row>3</xdr:row>
      <xdr:rowOff>57149</xdr:rowOff>
    </xdr:to>
    <xdr:pic>
      <xdr:nvPicPr>
        <xdr:cNvPr id="2" name="Picture 1"/>
        <xdr:cNvPicPr/>
      </xdr:nvPicPr>
      <xdr:blipFill>
        <a:blip xmlns:r="http://schemas.openxmlformats.org/officeDocument/2006/relationships" r:embed="GemRid178629"/>
        <a:stretch>
          <a:fillRect/>
        </a:stretch>
      </xdr:blipFill>
      <xdr:spPr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xmlns:xdr="http://schemas.openxmlformats.org/drawingml/2006/spreadsheetDrawing">
        <xdr:from>
          <xdr:col>9</xdr:col>
          <xdr:colOff>9525</xdr:colOff>
          <xdr:row>3</xdr:row>
          <xdr:rowOff>114300</xdr:rowOff>
        </xdr:from>
        <xdr:to>
          <xdr:col>10</xdr:col>
          <xdr:colOff>0</xdr:colOff>
          <xdr:row>4</xdr:row>
          <xdr:rowOff>104775</xdr:rowOff>
        </xdr:to>
        <xdr:sp macro="" textlink="">
          <xdr:nvSpPr>
            <xdr:cNvPr id="3073" name="Button 1" hidden="1">
              <a:extLst xmlns:a="http://schemas.openxmlformats.org/drawingml/2006/main"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27432" tIns="18288" rIns="27432" bIns="18288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en-AE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_rels/GemDrawing8198.xml.rels><?xml version="1.0" encoding="utf-8" standalone="yes"?><Relationships xmlns="http://schemas.openxmlformats.org/package/2006/relationships"><Relationship Id="GemRid178629" Type="http://schemas.openxmlformats.org/officeDocument/2006/relationships/image" Target="/xl/media/GemImage2438.jpeg" /></Relationships>
</file>

<file path=xl/drawings/_rels/GemVmlDrawing4102.vml.rels><?xml version="1.0" encoding="utf-8" standalone="yes"?><Relationships xmlns="http://schemas.openxmlformats.org/package/2006/relationships" 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Relationship Id="rId4" Type="http://schemas.openxmlformats.org/officeDocument/2006/relationships/ctrlProp" Target="../ctrlProps/ctrlProp1.xml" /><Relationship Id="GemRid819824" Type="http://schemas.openxmlformats.org/officeDocument/2006/relationships/drawing" Target="/xl/drawings/GemDrawing8198.xml" /><Relationship Id="GemRid243816" Type="http://schemas.openxmlformats.org/officeDocument/2006/relationships/vmlDrawing" Target="/xl/drawings/GemVmlDrawing4102.vml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>
  <sheetViews>
    <sheetView tabSelected="1" workbookViewId="0" topLeftCell="A1" zoomScaleNormal="100" zoomScaleSheetLayoutView="100" showGridLines="0" zoomScale="100" view="pageBreakPreview"/>
  </sheetViews>
  <sheetFormatPr defaultRowHeight="15"/>
  <cols>
    <col min="1" max="1" width="3.570313" customWidth="1" style="1"/>
    <col min="2" max="2" width="16.42578" customWidth="1" style="1"/>
    <col min="3" max="3" width="42.85547" customWidth="1" style="1"/>
    <col min="4" max="4" width="17.28516" customWidth="1" style="1"/>
    <col min="5" max="5" width="14.28516" customWidth="1" style="1"/>
    <col min="6" max="6" width="2.710938" customWidth="1" style="1"/>
    <col min="7" max="7" width="12.71094" customWidth="1" style="1"/>
    <col min="8" max="8" width="40.57031" customWidth="1" style="1"/>
    <col min="9" max="9" width="6.570313" customWidth="1" style="1"/>
    <col min="10" max="10" width="13.57031" customWidth="1" style="1"/>
    <col min="11" max="11" width="0" customWidth="1" hidden="1" style="1"/>
    <col min="12" max="12" width="0" customWidth="1" hidden="1" style="1"/>
    <col min="13" max="13" width="0" customWidth="1" hidden="1" style="1"/>
    <col min="14" max="14" width="0" customWidth="1" hidden="1" style="1"/>
    <col min="15" max="15" width="8.429688" customWidth="1" style="1"/>
    <col min="16" max="16" width="8.429688" customWidth="1" style="1"/>
    <col min="17" max="17" width="8.429688" customWidth="1" style="1"/>
    <col min="18" max="18" width="8.429688" customWidth="1" style="1"/>
    <col min="19" max="19" width="8.429688" customWidth="1" style="1"/>
    <col min="20" max="20" width="8.429688" customWidth="1" style="1"/>
    <col min="21" max="21" width="8.429688" customWidth="1" style="1"/>
    <col min="22" max="22" width="8.429688" customWidth="1" style="1"/>
    <col min="23" max="23" width="8.429688" customWidth="1" style="1"/>
    <col min="24" max="24" width="8.429688" customWidth="1" style="1"/>
    <col min="25" max="25" width="8.429688" customWidth="1" style="1"/>
    <col min="26" max="26" width="8.429688" customWidth="1" style="1"/>
    <col min="27" max="27" width="8.429688" customWidth="1" style="1"/>
    <col min="28" max="28" width="8.429688" customWidth="1" style="1"/>
    <col min="29" max="29" width="8.429688" customWidth="1" style="1"/>
    <col min="30" max="30" width="8.429688" customWidth="1" style="1"/>
    <col min="31" max="31" width="8.429688" customWidth="1" style="1"/>
    <col min="32" max="32" width="8.429688" customWidth="1" style="1"/>
    <col min="33" max="33" width="8.429688" customWidth="1" style="1"/>
    <col min="34" max="34" width="8.429688" customWidth="1" style="1"/>
    <col min="35" max="35" width="8.429688" customWidth="1" style="1"/>
    <col min="36" max="36" width="8.429688" customWidth="1" style="1"/>
    <col min="37" max="37" width="8.429688" customWidth="1" style="1"/>
    <col min="38" max="38" width="8.429688" customWidth="1" style="1"/>
    <col min="39" max="39" width="8.429688" customWidth="1" style="1"/>
    <col min="40" max="40" width="8.429688" customWidth="1" style="1"/>
    <col min="41" max="41" width="8.429688" customWidth="1" style="1"/>
    <col min="42" max="42" width="8.429688" customWidth="1" style="1"/>
    <col min="43" max="43" width="8.429688" customWidth="1" style="1"/>
    <col min="44" max="44" width="8.429688" customWidth="1" style="1"/>
    <col min="45" max="45" width="8.429688" customWidth="1" style="1"/>
    <col min="46" max="46" width="8.429688" customWidth="1" style="1"/>
    <col min="47" max="47" width="8.429688" customWidth="1" style="1"/>
    <col min="48" max="48" width="8.429688" customWidth="1" style="1"/>
    <col min="49" max="49" width="8.429688" customWidth="1" style="1"/>
    <col min="50" max="50" width="8.429688" customWidth="1" style="1"/>
    <col min="51" max="51" width="8.429688" customWidth="1" style="1"/>
    <col min="52" max="52" width="8.429688" customWidth="1" style="1"/>
    <col min="53" max="53" width="8.429688" customWidth="1" style="1"/>
    <col min="54" max="54" width="8.429688" customWidth="1" style="1"/>
    <col min="55" max="55" width="8.429688" customWidth="1" style="1"/>
    <col min="56" max="56" width="8.429688" customWidth="1" style="1"/>
    <col min="57" max="57" width="8.429688" customWidth="1" style="1"/>
    <col min="58" max="58" width="8.429688" customWidth="1" style="1"/>
    <col min="59" max="59" width="8.429688" customWidth="1" style="1"/>
    <col min="60" max="60" width="8.429688" customWidth="1" style="1"/>
    <col min="61" max="61" width="8.429688" customWidth="1" style="1"/>
    <col min="62" max="62" width="8.429688" customWidth="1" style="1"/>
    <col min="63" max="63" width="8.429688" customWidth="1" style="1"/>
    <col min="64" max="64" width="8.429688" customWidth="1" style="1"/>
    <col min="65" max="65" width="8.429688" customWidth="1" style="1"/>
    <col min="66" max="66" width="8.429688" customWidth="1" style="1"/>
    <col min="67" max="67" width="8.429688" customWidth="1" style="1"/>
    <col min="68" max="68" width="8.429688" customWidth="1" style="1"/>
    <col min="69" max="69" width="8.429688" customWidth="1" style="1"/>
    <col min="70" max="70" width="8.429688" customWidth="1" style="1"/>
    <col min="71" max="71" width="8.429688" customWidth="1" style="1"/>
    <col min="72" max="72" width="8.429688" customWidth="1" style="1"/>
    <col min="73" max="73" width="8.429688" customWidth="1" style="1"/>
    <col min="74" max="74" width="8.429688" customWidth="1" style="1"/>
    <col min="75" max="75" width="8.429688" customWidth="1" style="1"/>
    <col min="76" max="76" width="8.429688" customWidth="1" style="1"/>
    <col min="77" max="77" width="8.429688" customWidth="1" style="1"/>
    <col min="78" max="78" width="8.429688" customWidth="1" style="1"/>
    <col min="79" max="79" width="8.429688" customWidth="1" style="1"/>
    <col min="80" max="80" width="8.429688" customWidth="1" style="1"/>
    <col min="81" max="81" width="8.429688" customWidth="1" style="1"/>
    <col min="82" max="82" width="8.429688" customWidth="1" style="1"/>
    <col min="83" max="83" width="8.429688" customWidth="1" style="1"/>
    <col min="84" max="84" width="8.429688" customWidth="1" style="1"/>
    <col min="85" max="85" width="8.429688" customWidth="1" style="1"/>
    <col min="86" max="86" width="8.429688" customWidth="1" style="1"/>
    <col min="87" max="87" width="8.429688" customWidth="1" style="1"/>
    <col min="88" max="88" width="8.429688" customWidth="1" style="1"/>
    <col min="89" max="89" width="8.429688" customWidth="1" style="1"/>
    <col min="90" max="90" width="8.429688" customWidth="1" style="1"/>
    <col min="91" max="91" width="8.429688" customWidth="1" style="1"/>
    <col min="92" max="92" width="8.429688" customWidth="1" style="1"/>
    <col min="93" max="93" width="8.429688" customWidth="1" style="1"/>
    <col min="94" max="94" width="8.429688" customWidth="1" style="1"/>
    <col min="95" max="95" width="8.429688" customWidth="1" style="1"/>
    <col min="96" max="96" width="8.429688" customWidth="1" style="1"/>
    <col min="97" max="97" width="8.429688" customWidth="1" style="1"/>
    <col min="98" max="98" width="8.429688" customWidth="1" style="1"/>
    <col min="99" max="99" width="8.429688" customWidth="1" style="1"/>
    <col min="100" max="100" width="8.429688" customWidth="1" style="1"/>
    <col min="101" max="101" width="8.429688" customWidth="1" style="1"/>
    <col min="102" max="102" width="8.429688" customWidth="1" style="1"/>
    <col min="103" max="103" width="8.429688" customWidth="1" style="1"/>
    <col min="104" max="104" width="8.429688" customWidth="1" style="1"/>
    <col min="105" max="105" width="8.429688" customWidth="1" style="1"/>
    <col min="106" max="106" width="8.429688" customWidth="1" style="1"/>
    <col min="107" max="107" width="8.429688" customWidth="1" style="1"/>
    <col min="108" max="108" width="8.429688" customWidth="1" style="1"/>
    <col min="109" max="109" width="8.429688" customWidth="1" style="1"/>
    <col min="110" max="110" width="8.429688" customWidth="1" style="1"/>
    <col min="111" max="111" width="8.429688" customWidth="1" style="1"/>
    <col min="112" max="112" width="8.429688" customWidth="1" style="1"/>
    <col min="113" max="113" width="8.429688" customWidth="1" style="1"/>
    <col min="114" max="114" width="8.429688" customWidth="1" style="1"/>
    <col min="115" max="115" width="8.429688" customWidth="1" style="1"/>
    <col min="116" max="116" width="8.429688" customWidth="1" style="1"/>
    <col min="117" max="117" width="8.429688" customWidth="1" style="1"/>
    <col min="118" max="118" width="8.429688" customWidth="1" style="1"/>
    <col min="119" max="119" width="8.429688" customWidth="1" style="1"/>
    <col min="120" max="120" width="8.429688" customWidth="1" style="1"/>
    <col min="121" max="121" width="8.429688" customWidth="1" style="1"/>
    <col min="122" max="122" width="8.429688" customWidth="1" style="1"/>
    <col min="123" max="123" width="8.429688" customWidth="1" style="1"/>
    <col min="124" max="124" width="8.429688" customWidth="1" style="1"/>
    <col min="125" max="125" width="8.429688" customWidth="1" style="1"/>
    <col min="126" max="126" width="8.429688" customWidth="1" style="1"/>
    <col min="127" max="127" width="8.429688" customWidth="1" style="1"/>
    <col min="128" max="128" width="8.429688" customWidth="1" style="1"/>
    <col min="129" max="129" width="8.429688" customWidth="1" style="1"/>
    <col min="130" max="130" width="8.429688" customWidth="1" style="1"/>
    <col min="131" max="131" width="8.429688" customWidth="1" style="1"/>
    <col min="132" max="132" width="8.429688" customWidth="1" style="1"/>
    <col min="133" max="133" width="8.429688" customWidth="1" style="1"/>
    <col min="134" max="134" width="8.429688" customWidth="1" style="1"/>
    <col min="135" max="135" width="8.429688" customWidth="1" style="1"/>
    <col min="136" max="136" width="8.429688" customWidth="1" style="1"/>
    <col min="137" max="137" width="8.429688" customWidth="1" style="1"/>
    <col min="138" max="138" width="8.429688" customWidth="1" style="1"/>
    <col min="139" max="139" width="8.429688" customWidth="1" style="1"/>
    <col min="140" max="140" width="8.429688" customWidth="1" style="1"/>
    <col min="141" max="141" width="8.429688" customWidth="1" style="1"/>
    <col min="142" max="142" width="8.429688" customWidth="1" style="1"/>
    <col min="143" max="143" width="8.429688" customWidth="1" style="1"/>
    <col min="144" max="144" width="8.429688" customWidth="1" style="1"/>
    <col min="145" max="145" width="8.429688" customWidth="1" style="1"/>
    <col min="146" max="146" width="8.429688" customWidth="1" style="1"/>
    <col min="147" max="147" width="8.429688" customWidth="1" style="1"/>
    <col min="148" max="148" width="8.429688" customWidth="1" style="1"/>
    <col min="149" max="149" width="8.429688" customWidth="1" style="1"/>
    <col min="150" max="150" width="8.429688" customWidth="1" style="1"/>
    <col min="151" max="151" width="8.429688" customWidth="1" style="1"/>
    <col min="152" max="152" width="8.429688" customWidth="1" style="1"/>
    <col min="153" max="153" width="8.429688" customWidth="1" style="1"/>
    <col min="154" max="154" width="8.429688" customWidth="1" style="1"/>
    <col min="155" max="155" width="8.429688" customWidth="1" style="1"/>
    <col min="156" max="156" width="8.429688" customWidth="1" style="1"/>
    <col min="157" max="157" width="8.429688" customWidth="1" style="1"/>
    <col min="158" max="158" width="8.429688" customWidth="1" style="1"/>
    <col min="159" max="159" width="8.429688" customWidth="1" style="1"/>
    <col min="160" max="160" width="8.429688" customWidth="1" style="1"/>
    <col min="161" max="161" width="8.429688" customWidth="1" style="1"/>
    <col min="162" max="162" width="8.429688" customWidth="1" style="1"/>
    <col min="163" max="163" width="8.429688" customWidth="1" style="1"/>
    <col min="164" max="164" width="8.429688" customWidth="1" style="1"/>
    <col min="165" max="165" width="8.429688" customWidth="1" style="1"/>
    <col min="166" max="166" width="8.429688" customWidth="1" style="1"/>
    <col min="167" max="167" width="8.429688" customWidth="1" style="1"/>
    <col min="168" max="168" width="8.429688" customWidth="1" style="1"/>
    <col min="169" max="169" width="8.429688" customWidth="1" style="1"/>
    <col min="170" max="170" width="8.429688" customWidth="1" style="1"/>
    <col min="171" max="171" width="8.429688" customWidth="1" style="1"/>
    <col min="172" max="172" width="8.429688" customWidth="1" style="1"/>
    <col min="173" max="173" width="8.429688" customWidth="1" style="1"/>
    <col min="174" max="174" width="8.429688" customWidth="1" style="1"/>
    <col min="175" max="175" width="8.429688" customWidth="1" style="1"/>
    <col min="176" max="176" width="8.429688" customWidth="1" style="1"/>
    <col min="177" max="177" width="8.429688" customWidth="1" style="1"/>
    <col min="178" max="178" width="8.429688" customWidth="1" style="1"/>
    <col min="179" max="179" width="8.429688" customWidth="1" style="1"/>
    <col min="180" max="180" width="8.429688" customWidth="1" style="1"/>
    <col min="181" max="181" width="8.429688" customWidth="1" style="1"/>
    <col min="182" max="182" width="8.429688" customWidth="1" style="1"/>
    <col min="183" max="183" width="8.429688" customWidth="1" style="1"/>
    <col min="184" max="184" width="8.429688" customWidth="1" style="1"/>
    <col min="185" max="185" width="8.429688" customWidth="1" style="1"/>
    <col min="186" max="186" width="8.429688" customWidth="1" style="1"/>
    <col min="187" max="187" width="8.429688" customWidth="1" style="1"/>
    <col min="188" max="188" width="8.429688" customWidth="1" style="1"/>
    <col min="189" max="189" width="8.429688" customWidth="1" style="1"/>
    <col min="190" max="190" width="8.429688" customWidth="1" style="1"/>
    <col min="191" max="191" width="8.429688" customWidth="1" style="1"/>
    <col min="192" max="192" width="8.429688" customWidth="1" style="1"/>
    <col min="193" max="193" width="8.429688" customWidth="1" style="1"/>
    <col min="194" max="194" width="8.429688" customWidth="1" style="1"/>
    <col min="195" max="195" width="8.429688" customWidth="1" style="1"/>
    <col min="196" max="196" width="8.429688" customWidth="1" style="1"/>
    <col min="197" max="197" width="8.429688" customWidth="1" style="1"/>
    <col min="198" max="198" width="8.429688" customWidth="1" style="1"/>
    <col min="199" max="199" width="8.429688" customWidth="1" style="1"/>
    <col min="200" max="200" width="8.429688" customWidth="1" style="1"/>
    <col min="201" max="201" width="8.429688" customWidth="1" style="1"/>
    <col min="202" max="202" width="8.429688" customWidth="1" style="1"/>
    <col min="203" max="203" width="8.429688" customWidth="1" style="1"/>
    <col min="204" max="204" width="8.429688" customWidth="1" style="1"/>
    <col min="205" max="205" width="8.429688" customWidth="1" style="1"/>
    <col min="206" max="206" width="8.429688" customWidth="1" style="1"/>
    <col min="207" max="207" width="8.429688" customWidth="1" style="1"/>
    <col min="208" max="208" width="8.429688" customWidth="1" style="1"/>
    <col min="209" max="209" width="8.429688" customWidth="1" style="1"/>
    <col min="210" max="210" width="8.429688" customWidth="1" style="1"/>
    <col min="211" max="211" width="8.429688" customWidth="1" style="1"/>
    <col min="212" max="212" width="8.429688" customWidth="1" style="1"/>
    <col min="213" max="213" width="8.429688" customWidth="1" style="1"/>
    <col min="214" max="214" width="8.429688" customWidth="1" style="1"/>
    <col min="215" max="215" width="8.429688" customWidth="1" style="1"/>
    <col min="216" max="216" width="8.429688" customWidth="1" style="1"/>
    <col min="217" max="217" width="8.429688" customWidth="1" style="1"/>
    <col min="218" max="218" width="8.429688" customWidth="1" style="1"/>
    <col min="219" max="219" width="8.429688" customWidth="1" style="1"/>
    <col min="220" max="220" width="8.429688" customWidth="1" style="1"/>
    <col min="221" max="221" width="8.429688" customWidth="1" style="1"/>
    <col min="222" max="222" width="8.429688" customWidth="1" style="1"/>
    <col min="223" max="223" width="8.429688" customWidth="1" style="1"/>
    <col min="224" max="224" width="8.429688" customWidth="1" style="1"/>
    <col min="225" max="225" width="8.429688" customWidth="1" style="1"/>
    <col min="226" max="226" width="8.429688" customWidth="1" style="1"/>
    <col min="227" max="227" width="8.429688" customWidth="1" style="1"/>
    <col min="228" max="228" width="8.429688" customWidth="1" style="1"/>
    <col min="229" max="229" width="8.429688" customWidth="1" style="1"/>
    <col min="230" max="230" width="8.429688" customWidth="1" style="1"/>
    <col min="231" max="231" width="8.429688" customWidth="1" style="1"/>
    <col min="232" max="232" width="8.429688" customWidth="1" style="1"/>
    <col min="233" max="233" width="8.429688" customWidth="1" style="1"/>
    <col min="234" max="234" width="8.429688" customWidth="1" style="1"/>
    <col min="235" max="235" width="8.429688" customWidth="1" style="1"/>
    <col min="236" max="236" width="8.429688" customWidth="1" style="1"/>
    <col min="237" max="237" width="8.429688" customWidth="1" style="1"/>
    <col min="238" max="238" width="8.429688" customWidth="1" style="1"/>
    <col min="239" max="239" width="8.429688" customWidth="1" style="1"/>
    <col min="240" max="240" width="8.429688" customWidth="1" style="1"/>
    <col min="241" max="241" width="8.429688" customWidth="1" style="1"/>
    <col min="242" max="242" width="8.429688" customWidth="1" style="1"/>
    <col min="243" max="243" width="8.429688" customWidth="1" style="1"/>
    <col min="244" max="244" width="8.429688" customWidth="1" style="1"/>
    <col min="245" max="245" width="8.429688" customWidth="1" style="1"/>
    <col min="246" max="246" width="8.429688" customWidth="1" style="1"/>
    <col min="247" max="247" width="8.429688" customWidth="1" style="1"/>
    <col min="248" max="248" width="8.429688" customWidth="1" style="1"/>
    <col min="249" max="249" width="8.429688" customWidth="1" style="1"/>
    <col min="250" max="250" width="8.429688" customWidth="1" style="1"/>
    <col min="251" max="251" width="8.429688" customWidth="1" style="1"/>
    <col min="252" max="252" width="8.429688" customWidth="1" style="1"/>
    <col min="253" max="253" width="8.429688" customWidth="1" style="1"/>
    <col min="254" max="254" width="8.429688" customWidth="1" style="1"/>
    <col min="255" max="255" width="8.429688" customWidth="1" style="1"/>
    <col min="256" max="256" width="8.429688" customWidth="1" style="1"/>
  </cols>
  <sheetData>
    <row r="1" ht="17.25" customHeight="1">
      <c r="A1" s="2"/>
      <c r="B1" s="2"/>
      <c r="C1" s="2"/>
      <c r="D1" s="3"/>
      <c r="E1" s="4"/>
      <c r="F1" s="2"/>
      <c r="G1" s="2"/>
      <c r="H1" s="5"/>
      <c r="I1" s="2"/>
      <c r="J1" s="2"/>
    </row>
    <row r="2">
      <c r="A2" s="1"/>
      <c r="B2" s="1"/>
      <c r="C2" s="6" t="inlineStr">
        <is>
          <t xml:space="preserve">Seven Seas</t>
        </is>
      </c>
      <c r="D2" s="7"/>
      <c r="E2" s="8"/>
    </row>
    <row r="3">
      <c r="A3" s="1"/>
      <c r="B3" s="1"/>
      <c r="C3" s="1"/>
      <c r="D3" s="7"/>
      <c r="E3" s="8"/>
      <c r="F3" s="1"/>
      <c r="G3" s="9" t="inlineStr">
        <is>
          <t xml:space="preserve">"automatically updates when quantities are changed in departments"</t>
        </is>
      </c>
    </row>
    <row r="4" ht="19.5" customHeight="1">
      <c r="A4" s="1"/>
      <c r="B4" s="10" t="inlineStr">
        <is>
          <t xml:space="preserve">Vessel name:</t>
        </is>
      </c>
      <c r="C4" s="1"/>
      <c r="D4" s="7"/>
      <c r="E4" s="8"/>
      <c r="F4" s="1"/>
      <c r="G4" s="11" t="inlineStr">
        <is>
          <t xml:space="preserve">Currency:</t>
        </is>
      </c>
      <c r="H4" s="12" t="str">
        <f>'QUOTE'!K5</f>
        <v>USD</v>
      </c>
    </row>
    <row r="5">
      <c r="A5" s="1"/>
      <c r="B5" s="10" t="inlineStr">
        <is>
          <t xml:space="preserve">Port:</t>
        </is>
      </c>
      <c r="C5" s="1"/>
      <c r="D5" s="13" t="inlineStr">
        <is>
          <t xml:space="preserve">TERMS &amp; CONDITIONS</t>
        </is>
      </c>
      <c r="E5" s="14"/>
    </row>
    <row r="6" ht="11.25" customHeight="1">
      <c r="A6" s="1"/>
      <c r="B6" s="10"/>
      <c r="C6" s="1"/>
      <c r="D6" s="15" t="inlineStr">
        <is>
          <t xml:space="preserve">All quotes are subject to General terms and conditions of Seven Seas Group.</t>
        </is>
      </c>
      <c r="E6" s="16"/>
      <c r="F6" s="1"/>
      <c r="G6" s="17" t="inlineStr">
        <is>
          <t xml:space="preserve">Dept #</t>
        </is>
      </c>
      <c r="H6" s="18" t="inlineStr">
        <is>
          <t xml:space="preserve">Your reference</t>
        </is>
      </c>
      <c r="I6" s="18"/>
      <c r="J6" s="19" t="inlineStr">
        <is>
          <t xml:space="preserve">Net Amount</t>
        </is>
      </c>
      <c r="K6" s="1" t="inlineStr">
        <is>
          <t xml:space="preserve">discount</t>
        </is>
      </c>
      <c r="L6" s="1" t="inlineStr">
        <is>
          <t xml:space="preserve">gross</t>
        </is>
      </c>
      <c r="M6" s="1" t="inlineStr">
        <is>
          <t xml:space="preserve">vat</t>
        </is>
      </c>
      <c r="N6" s="1" t="inlineStr">
        <is>
          <t xml:space="preserve">tcost</t>
        </is>
      </c>
    </row>
    <row r="7">
      <c r="A7" s="1"/>
      <c r="B7" s="10" t="inlineStr">
        <is>
          <t xml:space="preserve">Our reference</t>
        </is>
      </c>
      <c r="C7" s="1" t="inlineStr">
        <is>
          <t xml:space="preserve">QUOTE</t>
        </is>
      </c>
      <c r="D7" s="15"/>
      <c r="E7" s="16"/>
      <c r="F7" s="1"/>
      <c r="G7" s="1" t="str">
        <f>'QUOTE'!B1</f>
        <v>QUOTE</v>
      </c>
      <c r="H7" s="1" t="str">
        <f>'QUOTE'!D3</f>
        <v/>
      </c>
      <c r="I7" s="1"/>
      <c r="J7" s="20">
        <f>'QUOTE'!L8</f>
        <v>0</v>
      </c>
      <c r="K7" s="1">
        <f>'QUOTE'!L4</f>
        <v>0</v>
      </c>
      <c r="L7" s="1">
        <f>'QUOTE'!L3</f>
        <v>0</v>
      </c>
      <c r="M7" s="1">
        <f>'QUOTE'!L6</f>
        <v>0</v>
      </c>
      <c r="N7" s="1">
        <f>'QUOTE'!L7</f>
        <v>0</v>
      </c>
    </row>
    <row r="8">
      <c r="A8" s="1"/>
      <c r="B8" s="10" t="inlineStr">
        <is>
          <t xml:space="preserve">Date:</t>
        </is>
      </c>
      <c r="C8" s="1"/>
      <c r="D8" s="15"/>
      <c r="E8" s="16"/>
      <c r="F8" s="1"/>
      <c r="G8" s="1"/>
      <c r="H8" s="1"/>
      <c r="I8" s="1"/>
      <c r="J8" s="20"/>
    </row>
    <row r="9">
      <c r="A9" s="1"/>
      <c r="B9" s="10" t="inlineStr">
        <is>
          <t xml:space="preserve">SevenSeas location</t>
        </is>
      </c>
      <c r="C9" s="21"/>
      <c r="D9" s="15"/>
      <c r="E9" s="16"/>
      <c r="F9" s="1"/>
      <c r="G9" s="1"/>
      <c r="H9" s="1"/>
      <c r="I9" s="1"/>
      <c r="J9" s="20"/>
    </row>
    <row r="10">
      <c r="A10" s="1"/>
      <c r="B10" s="1"/>
      <c r="C10" s="22"/>
      <c r="D10" s="15"/>
      <c r="E10" s="16"/>
      <c r="F10" s="1"/>
      <c r="G10" s="1"/>
      <c r="H10" s="1"/>
      <c r="I10" s="1"/>
      <c r="J10" s="20"/>
    </row>
    <row r="11">
      <c r="A11" s="1"/>
      <c r="B11" s="1"/>
      <c r="C11" s="22"/>
      <c r="D11" s="15"/>
      <c r="E11" s="16"/>
      <c r="F11" s="1"/>
      <c r="G11" s="1"/>
      <c r="H11" s="1"/>
      <c r="I11" s="1"/>
      <c r="J11" s="20"/>
    </row>
    <row r="12">
      <c r="A12" s="1"/>
      <c r="B12" s="1"/>
      <c r="C12" s="22"/>
      <c r="D12" s="15"/>
      <c r="E12" s="16"/>
      <c r="F12" s="1"/>
      <c r="G12" s="1"/>
      <c r="H12" s="1"/>
      <c r="I12" s="1"/>
      <c r="J12" s="20"/>
    </row>
    <row r="13">
      <c r="A13" s="1"/>
      <c r="B13" s="1"/>
      <c r="C13" s="21"/>
      <c r="D13" s="15"/>
      <c r="E13" s="16"/>
      <c r="F13" s="1"/>
      <c r="G13" s="1"/>
      <c r="H13" s="1"/>
      <c r="I13" s="1"/>
      <c r="J13" s="20"/>
    </row>
    <row r="14">
      <c r="A14" s="1"/>
      <c r="B14" s="1"/>
      <c r="C14" s="21"/>
      <c r="D14" s="15"/>
      <c r="E14" s="16"/>
      <c r="F14" s="1"/>
      <c r="G14" s="1"/>
      <c r="H14" s="1"/>
      <c r="I14" s="1"/>
      <c r="J14" s="20"/>
    </row>
    <row r="15">
      <c r="A15" s="1"/>
      <c r="B15" s="1" t="inlineStr">
        <is>
          <t xml:space="preserve">Sevenseas tax reg no :</t>
        </is>
      </c>
      <c r="C15" s="21"/>
      <c r="D15" s="15"/>
      <c r="E15" s="16"/>
      <c r="F15" s="1"/>
      <c r="G15" s="1"/>
      <c r="H15" s="1"/>
      <c r="I15" s="1"/>
      <c r="J15" s="20"/>
    </row>
    <row r="16">
      <c r="A16" s="1"/>
      <c r="B16" s="1"/>
      <c r="C16" s="21"/>
      <c r="D16" s="15"/>
      <c r="E16" s="16"/>
      <c r="F16" s="1"/>
      <c r="G16" s="1"/>
      <c r="H16" s="1"/>
      <c r="I16" s="1"/>
      <c r="J16" s="20"/>
    </row>
    <row r="17">
      <c r="A17" s="1"/>
      <c r="B17" s="1" t="inlineStr">
        <is>
          <t xml:space="preserve">Client:</t>
        </is>
      </c>
      <c r="C17" s="21"/>
      <c r="D17" s="15"/>
      <c r="E17" s="16"/>
      <c r="F17" s="1"/>
      <c r="G17" s="1"/>
      <c r="H17" s="1"/>
      <c r="I17" s="1"/>
      <c r="J17" s="20"/>
    </row>
    <row r="18">
      <c r="A18" s="1"/>
      <c r="B18" s="1"/>
      <c r="C18" s="21" t="inlineStr">
        <is>
          <t xml:space="preserve">    </t>
        </is>
      </c>
      <c r="D18" s="15"/>
      <c r="E18" s="16"/>
      <c r="F18" s="1"/>
      <c r="G18" s="23"/>
      <c r="H18" s="24" t="inlineStr">
        <is>
          <t xml:space="preserve">Total Gross Amount</t>
        </is>
      </c>
      <c r="I18" s="25" t="str">
        <f>H4</f>
        <v>USD</v>
      </c>
      <c r="J18" s="26">
        <f>SUM(L7:L17)</f>
        <v>0</v>
      </c>
    </row>
    <row r="19">
      <c r="A19" s="1"/>
      <c r="B19" s="1" t="inlineStr">
        <is>
          <t xml:space="preserve">Customer tax reg no :</t>
        </is>
      </c>
      <c r="C19" s="21"/>
      <c r="D19" s="15"/>
      <c r="E19" s="16"/>
      <c r="F19" s="1"/>
      <c r="G19" s="10"/>
      <c r="H19" s="27" t="inlineStr">
        <is>
          <t xml:space="preserve">Total Discount</t>
        </is>
      </c>
      <c r="I19" s="28" t="str">
        <f>H4</f>
        <v>USD</v>
      </c>
      <c r="J19" s="29">
        <f>SUM(K7:K17)</f>
        <v>0</v>
      </c>
    </row>
    <row r="20">
      <c r="A20" s="1"/>
      <c r="B20" s="1" t="inlineStr">
        <is>
          <t xml:space="preserve">Payment Terms:</t>
        </is>
      </c>
      <c r="C20" s="21"/>
      <c r="D20" s="15"/>
      <c r="E20" s="16"/>
      <c r="F20" s="1"/>
      <c r="G20" s="10"/>
      <c r="H20" s="30" t="inlineStr">
        <is>
          <t xml:space="preserve">Total Net Amount</t>
        </is>
      </c>
      <c r="I20" s="31" t="str">
        <f>H4</f>
        <v>USD</v>
      </c>
      <c r="J20" s="29">
        <f>J18-J19</f>
        <v>0</v>
      </c>
    </row>
    <row r="21">
      <c r="A21" s="1"/>
      <c r="B21" s="1"/>
      <c r="C21" s="21"/>
      <c r="D21" s="15"/>
      <c r="E21" s="16"/>
      <c r="F21" s="1"/>
      <c r="G21" s="10"/>
      <c r="H21" s="27" t="inlineStr">
        <is>
          <t xml:space="preserve">Total VAT</t>
        </is>
      </c>
      <c r="I21" s="32" t="str">
        <f>H4</f>
        <v>USD</v>
      </c>
      <c r="J21" s="20">
        <f>SUM(M7:M17)</f>
        <v>0</v>
      </c>
    </row>
    <row r="22" hidden="1">
      <c r="A22" s="1"/>
      <c r="B22" s="1"/>
      <c r="C22" s="21"/>
      <c r="D22" s="15"/>
      <c r="E22" s="16"/>
      <c r="F22" s="1"/>
      <c r="G22" s="10"/>
      <c r="H22" s="27" t="inlineStr">
        <is>
          <t xml:space="preserve">Transport Cost NET</t>
        </is>
      </c>
      <c r="I22" s="33" t="str">
        <f>H4</f>
        <v>USD</v>
      </c>
      <c r="J22" s="29">
        <f>SUM(N7:N17)</f>
        <v>0</v>
      </c>
    </row>
    <row r="23">
      <c r="A23" s="1"/>
      <c r="B23" s="1"/>
      <c r="C23" s="1"/>
      <c r="D23" s="15"/>
      <c r="E23" s="16"/>
      <c r="F23" s="1"/>
      <c r="G23" s="10"/>
      <c r="H23" s="27" t="inlineStr">
        <is>
          <t xml:space="preserve">Total Net Amount including VAT</t>
        </is>
      </c>
      <c r="I23" s="34" t="str">
        <f>H4</f>
        <v>USD</v>
      </c>
      <c r="J23" s="35">
        <f>SUM(J20:J22)</f>
        <v>0</v>
      </c>
    </row>
  </sheetData>
  <sheetProtection xmlns="http://schemas.openxmlformats.org/spreadsheetml/2006/main" algorithmName="SHA-512" hashValue="ENCwGWP329gY+XSsrSQAQgKBCHuEq+vgB7x944cE3XZ0wgZLOByzhJtdOJU9vsyDzgVOLxUZFoWHsrubU8y7MQ==" saltValue="T11fKLepzF14Hlk6KRiJuw==" spinCount="100000" sheet="1" objects="1" scenarios="1"/>
  <mergeCells count="3">
    <mergeCell ref="D6:E23"/>
    <mergeCell ref="C10:C12"/>
    <mergeCell ref="D5:E5"/>
  </mergeCells>
  <pageMargins left="0.19685038924217224" right="0.19685038924217224" top="0.19685038924217224" bottom="0.19685038924217224" header="0.19685038924217224" footer="0.19685038924217224"/>
  <pageSetup orientation="landscape" scale="84" paperSize="9" firstPageNumber="1" fitToWidth="1" fitToHeight="0" horizontalDpi="600" verticalDpi="600" copies="1"/>
  <drawing r:id="GemRid819824"/>
  <legacyDrawing r:id="GemRid24381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sheetViews>
    <sheetView workbookViewId="0" topLeftCell="C1" zoomScaleNormal="100" zoomScaleSheetLayoutView="100" showGridLines="0" zoomScale="100" view="pageBreakPreview"/>
  </sheetViews>
  <sheetFormatPr defaultRowHeight="15"/>
  <cols>
    <col min="1" max="1" width="15.71094" customWidth="1" style="1"/>
    <col min="2" max="2" width="20.85547" customWidth="1" hidden="1" style="1"/>
    <col min="3" max="3" width="16.14063" customWidth="1" style="1"/>
    <col min="4" max="4" width="62.71094" customWidth="1" style="1"/>
    <col min="5" max="5" width="17.85547" customWidth="1" hidden="1" style="1"/>
    <col min="6" max="6" width="9.710938" customWidth="1" hidden="1" style="1"/>
    <col min="7" max="7" width="63.85547" customWidth="1" style="1"/>
    <col min="8" max="8" width="42.42578" customWidth="1" style="1"/>
    <col min="9" max="9" width="10.85547" customWidth="1" style="1"/>
    <col min="10" max="10" width="20.14063" customWidth="1" style="1"/>
    <col min="11" max="11" width="18" customWidth="1" style="1"/>
    <col min="12" max="12" width="16.28516" customWidth="1" style="1"/>
    <col min="13" max="13" width="0.140625" customWidth="1" hidden="1" style="1"/>
    <col min="14" max="14" width="0.140625" customWidth="1" hidden="1" style="1"/>
    <col min="15" max="15" width="2.855469" customWidth="1" style="1"/>
    <col min="16" max="16" width="10.28516" customWidth="1" hidden="1" style="36"/>
    <col min="17" max="17" width="0" customWidth="1" hidden="1" style="36"/>
    <col min="18" max="18" width="0" customWidth="1" hidden="1" style="37"/>
    <col min="19" max="19" width="0" customWidth="1" hidden="1" style="36"/>
  </cols>
  <sheetData>
    <row r="1" ht="15.75" customHeight="1">
      <c r="A1" s="38" t="inlineStr">
        <is>
          <t xml:space="preserve">SevenSeas#</t>
        </is>
      </c>
      <c r="B1" s="39" t="inlineStr">
        <is>
          <t xml:space="preserve">QUOTE</t>
        </is>
      </c>
      <c r="C1" s="39"/>
      <c r="D1" s="40"/>
      <c r="E1" s="40"/>
      <c r="F1" s="41"/>
      <c r="G1" s="41"/>
      <c r="H1" s="42"/>
      <c r="I1" s="42"/>
      <c r="J1" s="43" t="inlineStr">
        <is>
          <t xml:space="preserve">Vessel Name:</t>
        </is>
      </c>
      <c r="K1" s="44"/>
      <c r="L1" s="44"/>
      <c r="M1" s="45"/>
      <c r="N1" s="46"/>
      <c r="O1" s="47"/>
    </row>
    <row r="2" ht="12" customHeight="1">
      <c r="A2" s="48"/>
      <c r="B2" s="48"/>
      <c r="C2" s="48"/>
      <c r="D2" s="48"/>
      <c r="E2" s="48"/>
      <c r="F2" s="48"/>
      <c r="G2" s="48"/>
      <c r="H2" s="49"/>
      <c r="I2" s="50"/>
      <c r="J2" s="51"/>
      <c r="K2" s="52"/>
      <c r="L2" s="52"/>
      <c r="M2" s="53"/>
      <c r="N2" s="46"/>
      <c r="O2" s="47"/>
    </row>
    <row r="3" ht="14.1" customHeight="1">
      <c r="A3" s="54" t="inlineStr">
        <is>
          <t xml:space="preserve">Your Reference</t>
        </is>
      </c>
      <c r="B3" s="55"/>
      <c r="C3" s="56"/>
      <c r="D3" s="57"/>
      <c r="E3" s="57"/>
      <c r="F3" s="57"/>
      <c r="G3" s="58"/>
      <c r="H3" s="59"/>
      <c r="I3" s="60"/>
      <c r="J3" s="61" t="inlineStr">
        <is>
          <t xml:space="preserve">Dept. </t>
        </is>
      </c>
      <c r="K3" s="62" t="inlineStr">
        <is>
          <t xml:space="preserve">Total:</t>
        </is>
      </c>
      <c r="L3" s="63">
        <f>SUM(N11:N11)</f>
        <v>0</v>
      </c>
      <c r="M3" s="53"/>
      <c r="N3" s="46"/>
      <c r="O3" s="47"/>
    </row>
    <row r="4" ht="14.1" customHeight="1" hidden="1">
      <c r="A4" s="64"/>
      <c r="B4" s="64"/>
      <c r="C4" s="64"/>
      <c r="D4" s="64"/>
      <c r="E4" s="64"/>
      <c r="F4" s="64"/>
      <c r="G4" s="64"/>
      <c r="H4" s="65"/>
      <c r="I4" s="65"/>
      <c r="J4" s="66" t="inlineStr">
        <is>
          <t xml:space="preserve">Discount</t>
        </is>
      </c>
      <c r="K4" s="67">
        <v>1E-13</v>
      </c>
      <c r="L4" s="68">
        <f>L3*K4</f>
        <v>0</v>
      </c>
      <c r="M4" s="69"/>
      <c r="N4" s="46"/>
      <c r="O4" s="47"/>
    </row>
    <row r="5" ht="14.1" customHeight="1">
      <c r="A5" s="64"/>
      <c r="B5" s="64"/>
      <c r="C5" s="64"/>
      <c r="D5" s="64"/>
      <c r="E5" s="64"/>
      <c r="F5" s="64"/>
      <c r="G5" s="64"/>
      <c r="H5" s="65"/>
      <c r="I5" s="65"/>
      <c r="J5" s="70" t="inlineStr">
        <is>
          <t xml:space="preserve">Total Net</t>
        </is>
      </c>
      <c r="K5" s="71" t="inlineStr">
        <is>
          <t xml:space="preserve">USD</t>
        </is>
      </c>
      <c r="L5" s="72">
        <f>L3-L4</f>
        <v>0</v>
      </c>
      <c r="M5" s="73"/>
      <c r="N5" s="46"/>
      <c r="O5" s="47"/>
    </row>
    <row r="6" ht="14.1" customHeight="1">
      <c r="A6" s="64"/>
      <c r="B6" s="64"/>
      <c r="C6" s="64"/>
      <c r="D6" s="64"/>
      <c r="E6" s="64"/>
      <c r="F6" s="64"/>
      <c r="G6" s="64"/>
      <c r="H6" s="65"/>
      <c r="I6" s="65"/>
      <c r="J6" s="66" t="inlineStr">
        <is>
          <t xml:space="preserve">VAT</t>
        </is>
      </c>
      <c r="K6" s="67" t="inlineStr">
        <is>
          <t xml:space="preserve">USD</t>
        </is>
      </c>
      <c r="L6" s="68">
        <f>SUM(S11:S11)</f>
        <v>0</v>
      </c>
      <c r="M6" s="69"/>
      <c r="N6" s="46"/>
      <c r="O6" s="47"/>
    </row>
    <row r="7" ht="14.1" customHeight="1" hidden="1">
      <c r="A7" s="64"/>
      <c r="B7" s="64"/>
      <c r="C7" s="64"/>
      <c r="D7" s="64"/>
      <c r="E7" s="64"/>
      <c r="F7" s="64"/>
      <c r="G7" s="64"/>
      <c r="H7" s="65"/>
      <c r="I7" s="65"/>
      <c r="J7" s="66" t="inlineStr">
        <is>
          <t xml:space="preserve">Transport Cost</t>
        </is>
      </c>
      <c r="K7" s="67" t="inlineStr">
        <is>
          <t xml:space="preserve">USD</t>
        </is>
      </c>
      <c r="L7" s="74">
        <v>0.0000</v>
      </c>
      <c r="M7" s="75"/>
      <c r="N7" s="46"/>
      <c r="O7" s="47"/>
    </row>
    <row r="8">
      <c r="A8" s="64"/>
      <c r="B8" s="64"/>
      <c r="C8" s="64"/>
      <c r="D8" s="64"/>
      <c r="E8" s="64"/>
      <c r="F8" s="64"/>
      <c r="G8" s="64"/>
      <c r="H8" s="65"/>
      <c r="I8" s="65"/>
      <c r="J8" s="70" t="inlineStr">
        <is>
          <t xml:space="preserve">Total Net including VAT</t>
        </is>
      </c>
      <c r="K8" s="76" t="inlineStr">
        <is>
          <t xml:space="preserve">USD</t>
        </is>
      </c>
      <c r="L8" s="77">
        <f>SUM(L5:L7)</f>
        <v>0</v>
      </c>
      <c r="M8" s="78"/>
      <c r="N8" s="46"/>
      <c r="O8" s="47"/>
    </row>
    <row r="9" ht="12" customHeight="1">
      <c r="A9" s="48"/>
      <c r="B9" s="48"/>
      <c r="C9" s="48"/>
      <c r="D9" s="48"/>
      <c r="E9" s="48"/>
      <c r="F9" s="48"/>
      <c r="G9" s="48"/>
      <c r="H9" s="50"/>
      <c r="I9" s="50"/>
      <c r="J9" s="51"/>
      <c r="K9" s="53"/>
      <c r="L9" s="53"/>
      <c r="M9" s="53"/>
      <c r="N9" s="46"/>
      <c r="O9" s="47"/>
    </row>
    <row r="10" ht="30.75" customHeight="1" customFormat="1" s="79">
      <c r="A10" s="80" t="inlineStr">
        <is>
          <t xml:space="preserve">Ref.</t>
        </is>
      </c>
      <c r="B10" s="80" t="inlineStr">
        <is>
          <t xml:space="preserve">Customer Code</t>
        </is>
      </c>
      <c r="C10" s="80" t="inlineStr">
        <is>
          <t xml:space="preserve">Code</t>
        </is>
      </c>
      <c r="D10" s="80" t="inlineStr">
        <is>
          <t xml:space="preserve">Customer Description</t>
        </is>
      </c>
      <c r="E10" s="80" t="inlineStr">
        <is>
          <t xml:space="preserve">Country of Origin</t>
        </is>
      </c>
      <c r="F10" s="80" t="inlineStr">
        <is>
          <t xml:space="preserve">Brand</t>
        </is>
      </c>
      <c r="G10" s="80" t="inlineStr">
        <is>
          <t xml:space="preserve">Seven Seas Description</t>
        </is>
      </c>
      <c r="H10" s="80" t="inlineStr">
        <is>
          <t xml:space="preserve">Our Remarks / Remarks</t>
        </is>
      </c>
      <c r="I10" s="80" t="inlineStr">
        <is>
          <t xml:space="preserve">Quantity</t>
        </is>
      </c>
      <c r="J10" s="80" t="inlineStr">
        <is>
          <t xml:space="preserve">UOM</t>
        </is>
      </c>
      <c r="K10" s="81" t="str">
        <f>CONCATENATE("Rate (",K5) &amp; ")"</f>
        <v>Rate (USD)</v>
      </c>
      <c r="L10" s="81" t="str">
        <f>CONCATENATE("Gross Total (",K5) &amp; ")"</f>
        <v>Gross Total (USD)</v>
      </c>
      <c r="M10" s="82"/>
      <c r="N10" s="83" t="inlineStr">
        <is>
          <t xml:space="preserve">AmountWithoutDiscount</t>
        </is>
      </c>
      <c r="O10" s="84"/>
      <c r="P10" s="85"/>
      <c r="Q10" s="85"/>
      <c r="R10" s="86"/>
      <c r="S10" s="85"/>
    </row>
    <row r="11" customFormat="1" s="79">
      <c r="A11" s="87"/>
      <c r="B11" s="87"/>
      <c r="C11" s="87"/>
      <c r="D11" s="88"/>
      <c r="E11" s="88"/>
      <c r="F11" s="88"/>
      <c r="G11" s="88"/>
      <c r="H11" s="89"/>
      <c r="I11" s="90"/>
      <c r="J11" s="91"/>
      <c r="K11" s="92"/>
      <c r="L11" s="92"/>
      <c r="M11" s="93"/>
      <c r="N11" s="94"/>
      <c r="O11" s="95"/>
      <c r="P11" s="85"/>
      <c r="Q11" s="85"/>
      <c r="R11" s="86"/>
      <c r="S11" s="85"/>
    </row>
    <row r="12"/>
    <row r="13"/>
  </sheetData>
  <sheetProtection xmlns="http://schemas.openxmlformats.org/spreadsheetml/2006/main" algorithmName="SHA-512" hashValue="TOp47Kf6T+GTNXZKJ2oxCONoZ2kuXI7cDIE7ZhS6WNDscZcoeg7UGIMiduN4bcaTMggzt1JxvOw8IPr0VeVlzA==" saltValue="i/3MSIBuRnLYhzS4Ghw1LA==" spinCount="100000" sheet="1" objects="1" scenarios="1"/>
  <mergeCells count="4">
    <mergeCell ref="B1:C1"/>
    <mergeCell ref="A3:C3"/>
    <mergeCell ref="K1:L2"/>
    <mergeCell ref="D1:E1"/>
  </mergeCells>
  <conditionalFormatting xmlns="http://schemas.openxmlformats.org/spreadsheetml/2006/main" sqref="L4:M6 J4:K8 L8:M8">
    <cfRule type="expression" dxfId="2" priority="9">
      <formula>$K$4=0</formula>
    </cfRule>
  </conditionalFormatting>
  <conditionalFormatting xmlns="http://schemas.openxmlformats.org/spreadsheetml/2006/main" sqref="J4:K7 L4:M6">
    <cfRule type="expression" dxfId="1" priority="8">
      <formula>$K$4=0</formula>
    </cfRule>
  </conditionalFormatting>
  <conditionalFormatting xmlns="http://schemas.openxmlformats.org/spreadsheetml/2006/main" sqref="I11:I1048576">
    <cfRule type="cellIs" dxfId="0" priority="7" operator="notEqual">
      <formula>N11</formula>
    </cfRule>
  </conditionalFormatting>
  <pageMargins left="0.19685038924217224" right="0.19685038924217224" top="0.19685038924217224" bottom="0.19685038924217224" header="0.19685038924217224" footer="0.19685038924217224"/>
  <pageSetup orientation="landscape" scale="45" paperSize="9" firstPageNumber="1" fitToWidth="1" fitToHeight="0" horizontalDpi="600" verticalDpi="600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SUMMARY</vt:lpstr>
      <vt:lpstr>Summary_Details</vt:lpstr>
      <vt:lpstr>SUMMARY!Print_Area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2019-03-05T10:37:32Z</cp:lastPrinted>
  <dcterms:created xsi:type="dcterms:W3CDTF">2006-09-16T00:00:00Z</dcterms:created>
  <dcterms:modified xsi:type="dcterms:W3CDTF">2026-05-07T04:57:03Z</dcterms:modified>
  <dc:creator/>
  <cp:lastModifiedBy/>
</cp:coreProperties>
</file>